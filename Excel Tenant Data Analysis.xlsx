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SU SCHOOL\"/>
    </mc:Choice>
  </mc:AlternateContent>
  <xr:revisionPtr revIDLastSave="0" documentId="13_ncr:1_{3E0D0043-B9DC-484F-9AFD-452C9BC41112}" xr6:coauthVersionLast="47" xr6:coauthVersionMax="47" xr10:uidLastSave="{00000000-0000-0000-0000-000000000000}"/>
  <bookViews>
    <workbookView xWindow="-108" yWindow="-108" windowWidth="23256" windowHeight="12456" xr2:uid="{EF991AF8-66BA-4A40-96F4-2D4F691A7224}"/>
  </bookViews>
  <sheets>
    <sheet name="Tenant_Data" sheetId="2" r:id="rId1"/>
    <sheet name="Sheet1" sheetId="1" r:id="rId2"/>
  </sheets>
  <definedNames>
    <definedName name="ExternalData_1" localSheetId="0" hidden="1">Tenant_Data!$A$1:$G$11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2" l="1" a="1"/>
  <c r="N3" i="2" s="1"/>
  <c r="H2" i="2"/>
  <c r="H3" i="2"/>
  <c r="H4" i="2"/>
  <c r="H5" i="2"/>
  <c r="H6" i="2"/>
  <c r="H7" i="2"/>
  <c r="H8" i="2"/>
  <c r="H9" i="2"/>
  <c r="H10" i="2"/>
  <c r="H11" i="2"/>
  <c r="D13" i="2"/>
  <c r="G13" i="2"/>
  <c r="F13" i="2"/>
  <c r="D12" i="2"/>
  <c r="G12" i="2"/>
  <c r="F12" i="2"/>
  <c r="L5" i="2" l="1"/>
  <c r="L3" i="2"/>
  <c r="M3" i="2" s="1" a="1"/>
  <c r="M3" i="2" s="1"/>
  <c r="L4" i="2"/>
  <c r="M4" i="2" s="1" a="1"/>
  <c r="M4" i="2" s="1"/>
  <c r="G14" i="2"/>
  <c r="F14" i="2"/>
  <c r="D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B7C723-03E9-4C85-8776-E2C2419181F5}" keepAlive="1" name="Query - bquxjob_57c37808_19dd4cbfa06" description="Connection to the 'bquxjob_57c37808_19dd4cbfa06' query in the workbook." type="5" refreshedVersion="8" background="1" saveData="1">
    <dbPr connection="Provider=Microsoft.Mashup.OleDb.1;Data Source=$Workbook$;Location=bquxjob_57c37808_19dd4cbfa06;Extended Properties=&quot;&quot;" command="SELECT * FROM [bquxjob_57c37808_19dd4cbfa06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<sst xmlns="http://schemas.openxmlformats.org/spreadsheetml/2006/main" count="53" uniqueCount="38">
  <si>
    <t>tenant_name</t>
  </si>
  <si>
    <t>industry</t>
  </si>
  <si>
    <t>credit_rating</t>
  </si>
  <si>
    <t>Total_ABR</t>
  </si>
  <si>
    <t>WACR</t>
  </si>
  <si>
    <t>Expiring_in_3yr</t>
  </si>
  <si>
    <t>Total_Locations</t>
  </si>
  <si>
    <t>ProMed Urgent Care</t>
  </si>
  <si>
    <t>Healthcare</t>
  </si>
  <si>
    <t>BBB</t>
  </si>
  <si>
    <t>Crestview Early Learning</t>
  </si>
  <si>
    <t>Education</t>
  </si>
  <si>
    <t>BBB-</t>
  </si>
  <si>
    <t>Atlas Auto Centers</t>
  </si>
  <si>
    <t>Auto Services</t>
  </si>
  <si>
    <t>BB+</t>
  </si>
  <si>
    <t>Heartland Fitness</t>
  </si>
  <si>
    <t>Fitness &amp; Wellness</t>
  </si>
  <si>
    <t>Summit Car Wash</t>
  </si>
  <si>
    <t>Car Wash</t>
  </si>
  <si>
    <t>BB</t>
  </si>
  <si>
    <t>Falcon Manufacturing</t>
  </si>
  <si>
    <t>Manufacturing</t>
  </si>
  <si>
    <t>Greenleaf Garden Centers</t>
  </si>
  <si>
    <t>Retail</t>
  </si>
  <si>
    <t>Ironwood Steakhouse</t>
  </si>
  <si>
    <t>Restaurant</t>
  </si>
  <si>
    <t>BB-</t>
  </si>
  <si>
    <t>National Tire Warehouse</t>
  </si>
  <si>
    <t>Sunrise Diner Group</t>
  </si>
  <si>
    <t>SUM</t>
  </si>
  <si>
    <t>Top 3 Tenants</t>
  </si>
  <si>
    <t>Top 3 Tenants Percent of Total</t>
  </si>
  <si>
    <t>Bottom 3 Tenants Credit Rating</t>
  </si>
  <si>
    <t>Column1</t>
  </si>
  <si>
    <t>Top 3 WACR Tenants</t>
  </si>
  <si>
    <t>Bottom 3 Credit Ranking Tenants WACR</t>
  </si>
  <si>
    <t>Credit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</si>
</sst>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0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 applyAlignment="1">
      <alignment horizontal="left" indent="2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7">
    <dxf>
      <numFmt numFmtId="0" formatCode="General"/>
    </dxf>
    <dxf>
      <numFmt numFmtId="14" formatCode="0.00%"/>
    </dxf>
    <dxf>
      <font>
        <b/>
      </font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C9DE2B-EBA0-43D5-BB2A-B43DC1929D55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tenant_name" tableColumnId="1"/>
      <queryTableField id="2" name="industry" tableColumnId="2"/>
      <queryTableField id="3" name="credit_rating" tableColumnId="3"/>
      <queryTableField id="4" name="Total_ABR" tableColumnId="4"/>
      <queryTableField id="5" name="WACR" tableColumnId="5"/>
      <queryTableField id="6" name="Expiring_in_3yr" tableColumnId="6"/>
      <queryTableField id="7" name="Total_Locations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B08BF-A753-45BC-8D43-A8A02CD865C2}" name="Tenant_Data" displayName="Tenant_Data" ref="A1:H12" tableType="queryTable" totalsRowCount="1">
  <autoFilter ref="A1:H11" xr:uid="{267B08BF-A753-45BC-8D43-A8A02CD865C2}"/>
  <sortState xmlns:xlrd2="http://schemas.microsoft.com/office/spreadsheetml/2017/richdata2" ref="A2:G11">
    <sortCondition descending="1" ref="D1:D11"/>
  </sortState>
  <tableColumns count="8">
    <tableColumn id="1" xr3:uid="{FF6CF4C0-E3C6-41FE-AE95-9C335FC11DC2}" uniqueName="1" name="tenant_name" queryTableFieldId="1" dataDxfId="6"/>
    <tableColumn id="2" xr3:uid="{8A09B624-05E8-4905-86B1-0D019D2F3848}" uniqueName="2" name="industry" queryTableFieldId="2" dataDxfId="5"/>
    <tableColumn id="3" xr3:uid="{6664ECC8-BC64-43A6-A9CE-6F2D97187B05}" uniqueName="3" name="credit_rating" totalsRowLabel="SUM" queryTableFieldId="3" dataDxfId="4"/>
    <tableColumn id="4" xr3:uid="{6116F1EA-BBF4-45B2-BA5F-A17F78A10297}" uniqueName="4" name="Total_ABR" totalsRowFunction="sum" queryTableFieldId="4" dataDxfId="3" totalsRowDxfId="2"/>
    <tableColumn id="5" xr3:uid="{6D3E5B9C-771F-4C38-B763-42D3D548391F}" uniqueName="5" name="WACR" totalsRowLabel="SUM" queryTableFieldId="5" dataDxfId="1"/>
    <tableColumn id="6" xr3:uid="{E8D983CF-ED88-4A61-AC56-9BF67055A897}" uniqueName="6" name="Expiring_in_3yr" totalsRowFunction="custom" queryTableFieldId="6">
      <totalsRowFormula>SUMIF(Tenant_Data[Expiring_in_3yr],"&gt;0")</totalsRowFormula>
    </tableColumn>
    <tableColumn id="7" xr3:uid="{666B9C13-4887-4A34-B477-95341E26E196}" uniqueName="7" name="Total_Locations" totalsRowFunction="sum" queryTableFieldId="7"/>
    <tableColumn id="8" xr3:uid="{DB3E8254-33FF-42B9-A5AD-DC31706182E7}" uniqueName="8" name="Column1" queryTableFieldId="8" dataDxfId="0">
      <calculatedColumnFormula>VLOOKUP(C2,$I$2:$J$6,2,0)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0FC0-E959-4A52-88C4-4FF3369E9FFB}">
  <dimension ref="A1:N17"/>
  <sheetViews>
    <sheetView tabSelected="1" zoomScale="75" zoomScaleNormal="75" workbookViewId="0">
      <selection activeCell="E17" sqref="E17"/>
    </sheetView>
  </sheetViews>
  <sheetFormatPr defaultRowHeight="14.4" x14ac:dyDescent="0.3"/>
  <cols>
    <col min="1" max="1" width="22.33203125" bestFit="1" customWidth="1"/>
    <col min="2" max="2" width="16.109375" bestFit="1" customWidth="1"/>
    <col min="3" max="3" width="26.77734375" bestFit="1" customWidth="1"/>
    <col min="4" max="4" width="20.88671875" bestFit="1" customWidth="1"/>
    <col min="5" max="5" width="25" bestFit="1" customWidth="1"/>
    <col min="6" max="6" width="15.6640625" bestFit="1" customWidth="1"/>
    <col min="7" max="7" width="16.21875" bestFit="1" customWidth="1"/>
    <col min="12" max="12" width="28.77734375" bestFit="1" customWidth="1"/>
    <col min="13" max="13" width="35.77734375" bestFit="1" customWidth="1"/>
    <col min="14" max="14" width="19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34</v>
      </c>
      <c r="I1" s="5" t="s">
        <v>37</v>
      </c>
      <c r="J1" s="6"/>
    </row>
    <row r="2" spans="1:14" x14ac:dyDescent="0.3">
      <c r="A2" t="s">
        <v>28</v>
      </c>
      <c r="B2" t="s">
        <v>14</v>
      </c>
      <c r="C2" t="s">
        <v>15</v>
      </c>
      <c r="D2" s="3">
        <v>1567000</v>
      </c>
      <c r="E2" s="2">
        <v>8.4342016037888171E-2</v>
      </c>
      <c r="F2">
        <v>4</v>
      </c>
      <c r="G2">
        <v>5</v>
      </c>
      <c r="H2">
        <f t="shared" ref="H2:H11" si="0">VLOOKUP(C2,$I$2:$J$6,2,0)</f>
        <v>3</v>
      </c>
      <c r="I2" t="s">
        <v>9</v>
      </c>
      <c r="J2">
        <v>1</v>
      </c>
      <c r="L2" s="5" t="s">
        <v>33</v>
      </c>
      <c r="M2" s="5" t="s">
        <v>36</v>
      </c>
      <c r="N2" s="5" t="s">
        <v>35</v>
      </c>
    </row>
    <row r="3" spans="1:14" x14ac:dyDescent="0.3">
      <c r="A3" t="s">
        <v>29</v>
      </c>
      <c r="B3" t="s">
        <v>26</v>
      </c>
      <c r="C3" t="s">
        <v>20</v>
      </c>
      <c r="D3" s="3">
        <v>1391000</v>
      </c>
      <c r="E3" s="2">
        <v>7.5570920252064314E-2</v>
      </c>
      <c r="F3">
        <v>4</v>
      </c>
      <c r="G3">
        <v>5</v>
      </c>
      <c r="H3">
        <f t="shared" si="0"/>
        <v>4</v>
      </c>
      <c r="I3" t="s">
        <v>12</v>
      </c>
      <c r="J3">
        <v>2</v>
      </c>
      <c r="L3" t="str">
        <f>INDEX(Tenant_Data[credit_rating],MATCH(LARGE($H$2:$H$11, 1), $H$2:$H$11, 0))</f>
        <v>BB-</v>
      </c>
      <c r="M3" cm="1">
        <f t="array" ref="M3">_xlfn.UNIQUE(_xlfn._xlws.FILTER(Tenant_Data[WACR], Tenant_Data[credit_rating] = L3))</f>
        <v>7.7385588507877662E-2</v>
      </c>
      <c r="N3" cm="1">
        <f t="array" ref="N3:N5">LARGE(Tenant_Data[WACR], {1;2;3})</f>
        <v>8.4577506815000369E-2</v>
      </c>
    </row>
    <row r="4" spans="1:14" x14ac:dyDescent="0.3">
      <c r="A4" t="s">
        <v>10</v>
      </c>
      <c r="B4" t="s">
        <v>11</v>
      </c>
      <c r="C4" t="s">
        <v>12</v>
      </c>
      <c r="D4" s="3">
        <v>1224000</v>
      </c>
      <c r="E4" s="2">
        <v>7.2242046863011278E-2</v>
      </c>
      <c r="F4">
        <v>1</v>
      </c>
      <c r="G4">
        <v>4</v>
      </c>
      <c r="H4">
        <f t="shared" si="0"/>
        <v>2</v>
      </c>
      <c r="I4" t="s">
        <v>15</v>
      </c>
      <c r="J4">
        <v>3</v>
      </c>
      <c r="L4" t="str">
        <f>INDEX(Tenant_Data[credit_rating],MATCH(LARGE($H$2:$H$11, 2), $H$2:$H$11, 0))</f>
        <v>BB</v>
      </c>
      <c r="M4" cm="1">
        <f t="array" ref="M4:M5">_xlfn.UNIQUE(_xlfn._xlws.FILTER(Tenant_Data[WACR], Tenant_Data[credit_rating] = L4))</f>
        <v>7.5570920252064314E-2</v>
      </c>
      <c r="N4">
        <v>8.4342016037888171E-2</v>
      </c>
    </row>
    <row r="5" spans="1:14" x14ac:dyDescent="0.3">
      <c r="A5" t="s">
        <v>13</v>
      </c>
      <c r="B5" t="s">
        <v>14</v>
      </c>
      <c r="C5" t="s">
        <v>15</v>
      </c>
      <c r="D5" s="3">
        <v>1148000</v>
      </c>
      <c r="E5" s="2">
        <v>8.4577506815000369E-2</v>
      </c>
      <c r="F5">
        <v>1</v>
      </c>
      <c r="G5">
        <v>4</v>
      </c>
      <c r="H5">
        <f t="shared" si="0"/>
        <v>3</v>
      </c>
      <c r="I5" t="s">
        <v>20</v>
      </c>
      <c r="J5">
        <v>4</v>
      </c>
      <c r="L5" t="str">
        <f>INDEX(Tenant_Data[credit_rating],MATCH(LARGE($H$2:$H$11, 3), $H$2:$H$11, 0))</f>
        <v>BB</v>
      </c>
      <c r="M5">
        <v>8.1250328847515943E-2</v>
      </c>
      <c r="N5">
        <v>8.2099283234404755E-2</v>
      </c>
    </row>
    <row r="6" spans="1:14" x14ac:dyDescent="0.3">
      <c r="A6" t="s">
        <v>7</v>
      </c>
      <c r="B6" t="s">
        <v>8</v>
      </c>
      <c r="C6" t="s">
        <v>9</v>
      </c>
      <c r="D6" s="3">
        <v>1115000</v>
      </c>
      <c r="E6" s="2">
        <v>6.7960626561833368E-2</v>
      </c>
      <c r="F6">
        <v>0</v>
      </c>
      <c r="G6">
        <v>3</v>
      </c>
      <c r="H6">
        <f t="shared" si="0"/>
        <v>1</v>
      </c>
      <c r="I6" t="s">
        <v>27</v>
      </c>
      <c r="J6">
        <v>5</v>
      </c>
    </row>
    <row r="7" spans="1:14" x14ac:dyDescent="0.3">
      <c r="A7" t="s">
        <v>16</v>
      </c>
      <c r="B7" t="s">
        <v>17</v>
      </c>
      <c r="C7" t="s">
        <v>15</v>
      </c>
      <c r="D7" s="3">
        <v>986000</v>
      </c>
      <c r="E7" s="2">
        <v>8.0089642567018685E-2</v>
      </c>
      <c r="F7">
        <v>1</v>
      </c>
      <c r="G7">
        <v>4</v>
      </c>
      <c r="H7">
        <f t="shared" si="0"/>
        <v>3</v>
      </c>
    </row>
    <row r="8" spans="1:14" x14ac:dyDescent="0.3">
      <c r="A8" t="s">
        <v>25</v>
      </c>
      <c r="B8" t="s">
        <v>26</v>
      </c>
      <c r="C8" t="s">
        <v>27</v>
      </c>
      <c r="D8" s="3">
        <v>835000</v>
      </c>
      <c r="E8" s="2">
        <v>7.7385588507877662E-2</v>
      </c>
      <c r="F8">
        <v>3</v>
      </c>
      <c r="G8">
        <v>3</v>
      </c>
      <c r="H8">
        <f t="shared" si="0"/>
        <v>5</v>
      </c>
    </row>
    <row r="9" spans="1:14" x14ac:dyDescent="0.3">
      <c r="A9" t="s">
        <v>18</v>
      </c>
      <c r="B9" t="s">
        <v>19</v>
      </c>
      <c r="C9" t="s">
        <v>20</v>
      </c>
      <c r="D9" s="3">
        <v>803000</v>
      </c>
      <c r="E9" s="2">
        <v>8.1250328847515943E-2</v>
      </c>
      <c r="F9">
        <v>1</v>
      </c>
      <c r="G9">
        <v>3</v>
      </c>
      <c r="H9">
        <f t="shared" si="0"/>
        <v>4</v>
      </c>
    </row>
    <row r="10" spans="1:14" x14ac:dyDescent="0.3">
      <c r="A10" t="s">
        <v>21</v>
      </c>
      <c r="B10" t="s">
        <v>22</v>
      </c>
      <c r="C10" t="s">
        <v>15</v>
      </c>
      <c r="D10" s="3">
        <v>803000</v>
      </c>
      <c r="E10" s="2">
        <v>7.7479930528753377E-2</v>
      </c>
      <c r="F10">
        <v>1</v>
      </c>
      <c r="G10">
        <v>2</v>
      </c>
      <c r="H10">
        <f t="shared" si="0"/>
        <v>3</v>
      </c>
    </row>
    <row r="11" spans="1:14" x14ac:dyDescent="0.3">
      <c r="A11" t="s">
        <v>23</v>
      </c>
      <c r="B11" t="s">
        <v>24</v>
      </c>
      <c r="C11" t="s">
        <v>15</v>
      </c>
      <c r="D11" s="3">
        <v>733000</v>
      </c>
      <c r="E11" s="2">
        <v>8.2099283234404755E-2</v>
      </c>
      <c r="F11">
        <v>2</v>
      </c>
      <c r="G11">
        <v>3</v>
      </c>
      <c r="H11">
        <f t="shared" si="0"/>
        <v>3</v>
      </c>
    </row>
    <row r="12" spans="1:14" x14ac:dyDescent="0.3">
      <c r="C12" t="s">
        <v>30</v>
      </c>
      <c r="D12" s="4">
        <f>SUBTOTAL(109,Tenant_Data[Total_ABR])</f>
        <v>10605000</v>
      </c>
      <c r="E12" t="s">
        <v>30</v>
      </c>
      <c r="F12">
        <f>SUMIF(Tenant_Data[Expiring_in_3yr],"&gt;0")</f>
        <v>18</v>
      </c>
      <c r="G12">
        <f>SUBTOTAL(109,Tenant_Data[Total_Locations])</f>
        <v>36</v>
      </c>
    </row>
    <row r="13" spans="1:14" x14ac:dyDescent="0.3">
      <c r="C13" s="1" t="s">
        <v>31</v>
      </c>
      <c r="D13" s="3">
        <f>SUM(D2:D4)</f>
        <v>4182000</v>
      </c>
      <c r="E13" s="1" t="s">
        <v>31</v>
      </c>
      <c r="F13">
        <f>SUM(F2:F4)</f>
        <v>9</v>
      </c>
      <c r="G13">
        <f>SUM(G2:G4)</f>
        <v>14</v>
      </c>
    </row>
    <row r="14" spans="1:14" x14ac:dyDescent="0.3">
      <c r="C14" s="1" t="s">
        <v>32</v>
      </c>
      <c r="D14" s="2">
        <f>D13/Tenant_Data[[#Totals],[Total_ABR]]</f>
        <v>0.39434229137199434</v>
      </c>
      <c r="E14" s="1" t="s">
        <v>32</v>
      </c>
      <c r="F14" s="2">
        <f>F13/Tenant_Data[[#Totals],[Expiring_in_3yr]]</f>
        <v>0.5</v>
      </c>
      <c r="G14" s="2">
        <f>G13/Tenant_Data[[#Totals],[Total_Locations]]</f>
        <v>0.3888888888888889</v>
      </c>
    </row>
    <row r="17" ht="14.4" customHeight="1" x14ac:dyDescent="0.3"/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38BD-9E6F-4570-9C39-737A2BAFE2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AD782D-B00C-4D0C-8F1A-64DCF2F6DA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Tenant_Data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Rasmussen, Roman</dc:creator>
  <cp:lastModifiedBy>Rasmussen, Roman</cp:lastModifiedBy>
  <dcterms:created xsi:type="dcterms:W3CDTF">2026-04-28T15:54:32Z</dcterms:created>
  <dcterms:modified xsi:type="dcterms:W3CDTF">2026-04-30T17:15:32Z</dcterms:modified>
</cp:coreProperties>
</file>